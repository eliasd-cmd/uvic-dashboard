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isael/Documents/UVIC/Plan-Marketing/"/>
    </mc:Choice>
  </mc:AlternateContent>
  <xr:revisionPtr revIDLastSave="0" documentId="13_ncr:1_{33C1DC48-2B1C-394D-B0E8-6B4A8CA7F15A}" xr6:coauthVersionLast="47" xr6:coauthVersionMax="47" xr10:uidLastSave="{00000000-0000-0000-0000-000000000000}"/>
  <bookViews>
    <workbookView xWindow="-11380" yWindow="-28200" windowWidth="51200" windowHeight="27120" xr2:uid="{00000000-000D-0000-FFFF-FFFF00000000}"/>
  </bookViews>
  <sheets>
    <sheet name="TOTAL" sheetId="8" r:id="rId1"/>
    <sheet name="Por Programa" sheetId="3" r:id="rId2"/>
    <sheet name="Por Plataforma" sheetId="2" r:id="rId3"/>
    <sheet name="Datos-Nuevo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17" i="2"/>
  <c r="C6" i="2"/>
  <c r="C12" i="2" s="1"/>
  <c r="D6" i="2"/>
  <c r="C16" i="2"/>
  <c r="C22" i="2" s="1"/>
  <c r="D16" i="2"/>
  <c r="D22" i="2" s="1"/>
  <c r="B16" i="2"/>
  <c r="B22" i="2" s="1"/>
  <c r="C69" i="3"/>
  <c r="C5" i="8" s="1"/>
  <c r="D69" i="3"/>
  <c r="D5" i="8" s="1"/>
  <c r="B69" i="3"/>
  <c r="B70" i="3" s="1"/>
  <c r="E69" i="3"/>
  <c r="C47" i="3"/>
  <c r="D47" i="3"/>
  <c r="B47" i="3"/>
  <c r="C61" i="3"/>
  <c r="C56" i="3"/>
  <c r="C58" i="3" s="1"/>
  <c r="C59" i="3" s="1"/>
  <c r="D56" i="3"/>
  <c r="D58" i="3" s="1"/>
  <c r="D59" i="3" s="1"/>
  <c r="E54" i="3"/>
  <c r="E53" i="3"/>
  <c r="C53" i="3"/>
  <c r="D53" i="3"/>
  <c r="D61" i="3" s="1"/>
  <c r="B53" i="3"/>
  <c r="B61" i="3" s="1"/>
  <c r="E46" i="3"/>
  <c r="E42" i="3"/>
  <c r="E43" i="3" s="1"/>
  <c r="E41" i="3"/>
  <c r="E30" i="3"/>
  <c r="E17" i="3"/>
  <c r="E20" i="3" s="1"/>
  <c r="B49" i="3"/>
  <c r="C41" i="3"/>
  <c r="C49" i="3" s="1"/>
  <c r="D41" i="3"/>
  <c r="D49" i="3" s="1"/>
  <c r="B41" i="3"/>
  <c r="B44" i="3" s="1"/>
  <c r="C29" i="3"/>
  <c r="C32" i="3" s="1"/>
  <c r="C34" i="3" s="1"/>
  <c r="C35" i="3" s="1"/>
  <c r="D29" i="3"/>
  <c r="D32" i="3" s="1"/>
  <c r="D34" i="3" s="1"/>
  <c r="D35" i="3" s="1"/>
  <c r="B29" i="3"/>
  <c r="B32" i="3" s="1"/>
  <c r="E32" i="3" s="1"/>
  <c r="D25" i="3"/>
  <c r="C13" i="3"/>
  <c r="B20" i="3"/>
  <c r="B22" i="3" s="1"/>
  <c r="E18" i="3"/>
  <c r="C17" i="3"/>
  <c r="C25" i="3" s="1"/>
  <c r="D17" i="3"/>
  <c r="D20" i="3" s="1"/>
  <c r="D22" i="3" s="1"/>
  <c r="D23" i="3" s="1"/>
  <c r="B17" i="3"/>
  <c r="B25" i="3" s="1"/>
  <c r="D8" i="3"/>
  <c r="D10" i="3" s="1"/>
  <c r="B8" i="3"/>
  <c r="B10" i="3" s="1"/>
  <c r="E6" i="3"/>
  <c r="E7" i="3" s="1"/>
  <c r="E5" i="3"/>
  <c r="C5" i="3"/>
  <c r="C68" i="3" s="1"/>
  <c r="D5" i="3"/>
  <c r="D13" i="3" s="1"/>
  <c r="B5" i="3"/>
  <c r="B68" i="3" s="1"/>
  <c r="B4" i="8" s="1"/>
  <c r="B12" i="8" s="1"/>
  <c r="F15" i="7"/>
  <c r="D8" i="7"/>
  <c r="B22" i="7"/>
  <c r="C22" i="7" s="1"/>
  <c r="C19" i="7"/>
  <c r="C14" i="7"/>
  <c r="C13" i="7"/>
  <c r="C12" i="7"/>
  <c r="B6" i="2"/>
  <c r="B12" i="2" s="1"/>
  <c r="B19" i="2" l="1"/>
  <c r="B9" i="2"/>
  <c r="C9" i="2"/>
  <c r="E6" i="2"/>
  <c r="E8" i="2" s="1"/>
  <c r="D12" i="2"/>
  <c r="D19" i="2"/>
  <c r="D9" i="2"/>
  <c r="C19" i="2"/>
  <c r="E16" i="2"/>
  <c r="E18" i="2" s="1"/>
  <c r="C4" i="8"/>
  <c r="C12" i="8" s="1"/>
  <c r="C70" i="3"/>
  <c r="D11" i="3"/>
  <c r="D73" i="3"/>
  <c r="D9" i="8" s="1"/>
  <c r="D10" i="8" s="1"/>
  <c r="E22" i="3"/>
  <c r="E23" i="3" s="1"/>
  <c r="B11" i="3"/>
  <c r="C8" i="3"/>
  <c r="B56" i="3"/>
  <c r="B13" i="3"/>
  <c r="C20" i="3"/>
  <c r="C22" i="3" s="1"/>
  <c r="C23" i="3" s="1"/>
  <c r="D44" i="3"/>
  <c r="E44" i="3" s="1"/>
  <c r="B71" i="3"/>
  <c r="E29" i="3"/>
  <c r="E31" i="3" s="1"/>
  <c r="C44" i="3"/>
  <c r="D71" i="3"/>
  <c r="B34" i="3"/>
  <c r="D68" i="3"/>
  <c r="E19" i="3"/>
  <c r="E47" i="3"/>
  <c r="B5" i="8"/>
  <c r="B6" i="8" s="1"/>
  <c r="B37" i="3"/>
  <c r="C37" i="3"/>
  <c r="D37" i="3"/>
  <c r="B76" i="3"/>
  <c r="C76" i="3"/>
  <c r="E68" i="3"/>
  <c r="E70" i="3" s="1"/>
  <c r="D74" i="3"/>
  <c r="B23" i="3"/>
  <c r="C20" i="7"/>
  <c r="C21" i="7"/>
  <c r="E9" i="2" l="1"/>
  <c r="E10" i="2" s="1"/>
  <c r="E19" i="2"/>
  <c r="E20" i="2" s="1"/>
  <c r="B7" i="8"/>
  <c r="B72" i="3"/>
  <c r="D76" i="3"/>
  <c r="D4" i="8"/>
  <c r="D72" i="3"/>
  <c r="D7" i="8"/>
  <c r="D8" i="8" s="1"/>
  <c r="E5" i="8"/>
  <c r="B58" i="3"/>
  <c r="E56" i="3"/>
  <c r="C10" i="3"/>
  <c r="C71" i="3"/>
  <c r="B35" i="3"/>
  <c r="E34" i="3"/>
  <c r="E35" i="3" s="1"/>
  <c r="D70" i="3"/>
  <c r="C6" i="8"/>
  <c r="E71" i="3"/>
  <c r="E72" i="3" s="1"/>
  <c r="B59" i="3" l="1"/>
  <c r="E58" i="3"/>
  <c r="E59" i="3" s="1"/>
  <c r="D12" i="8"/>
  <c r="E4" i="8"/>
  <c r="E6" i="8" s="1"/>
  <c r="D6" i="8"/>
  <c r="C72" i="3"/>
  <c r="C7" i="8"/>
  <c r="C8" i="8" s="1"/>
  <c r="B8" i="8"/>
  <c r="E7" i="8"/>
  <c r="E8" i="8" s="1"/>
  <c r="C11" i="3"/>
  <c r="C73" i="3"/>
  <c r="E10" i="3"/>
  <c r="E11" i="3" s="1"/>
  <c r="B73" i="3"/>
  <c r="B9" i="8" l="1"/>
  <c r="E73" i="3"/>
  <c r="E74" i="3" s="1"/>
  <c r="B74" i="3"/>
  <c r="C74" i="3"/>
  <c r="C9" i="8"/>
  <c r="C10" i="8" s="1"/>
  <c r="B10" i="8" l="1"/>
  <c r="E9" i="8"/>
  <c r="E10" i="8" s="1"/>
</calcChain>
</file>

<file path=xl/sharedStrings.xml><?xml version="1.0" encoding="utf-8"?>
<sst xmlns="http://schemas.openxmlformats.org/spreadsheetml/2006/main" count="167" uniqueCount="48">
  <si>
    <t>2026</t>
  </si>
  <si>
    <t>Escenario</t>
  </si>
  <si>
    <t>julio</t>
  </si>
  <si>
    <t>agosto</t>
  </si>
  <si>
    <t>septiembre</t>
  </si>
  <si>
    <t>Total</t>
  </si>
  <si>
    <t>Leads</t>
  </si>
  <si>
    <t>MKT Presu.</t>
  </si>
  <si>
    <t>CPL</t>
  </si>
  <si>
    <t>Ventas Netas totales</t>
  </si>
  <si>
    <t>Tasa de Conversión</t>
  </si>
  <si>
    <t>Facturación Neta</t>
  </si>
  <si>
    <t>GP</t>
  </si>
  <si>
    <t>Leads diarios</t>
  </si>
  <si>
    <t>UVIC-UCC · KPIs v3 POR PLATAFORMA</t>
  </si>
  <si>
    <t>Meta Ads</t>
  </si>
  <si>
    <t>Google Ads</t>
  </si>
  <si>
    <t>UVIC-UCC · KPIs v3 POR PROGRAMA</t>
  </si>
  <si>
    <t>Postgrau Comunicació Científica</t>
  </si>
  <si>
    <t>Màster Gestió i Màrqueting Esportiu</t>
  </si>
  <si>
    <t>Executive MBA</t>
  </si>
  <si>
    <t>Postgrau Documental Social</t>
  </si>
  <si>
    <t>Plus Executive (Lideratge IA) (opcional)</t>
  </si>
  <si>
    <t>DATOS DE PARTIDA v3 (celdas en azul = editables)</t>
  </si>
  <si>
    <t>Solo Catalunya · CPL real actual ≈ 98 € · plan a 50-70 €. Inversión y matrículas = TOTAL del trimestre.</t>
  </si>
  <si>
    <t>Programa</t>
  </si>
  <si>
    <t>Precio (€)</t>
  </si>
  <si>
    <t>CPL (€)</t>
  </si>
  <si>
    <t>Inversión TRIM (€)</t>
  </si>
  <si>
    <t>Meta %</t>
  </si>
  <si>
    <t>Google %</t>
  </si>
  <si>
    <t>Leads (trim)</t>
  </si>
  <si>
    <t>Matrículas (trim)</t>
  </si>
  <si>
    <t>Conv. efectiva</t>
  </si>
  <si>
    <t>Facturación (trim) (€)</t>
  </si>
  <si>
    <t>Opcional</t>
  </si>
  <si>
    <t>No</t>
  </si>
  <si>
    <t>Plus Executive (Lideratge IA)</t>
  </si>
  <si>
    <t>Sí</t>
  </si>
  <si>
    <t>TOTAL 5 prog.</t>
  </si>
  <si>
    <t>Perfil mensual de INVERSIÓN (€ · editable)</t>
  </si>
  <si>
    <t>Julio</t>
  </si>
  <si>
    <t>Agosto</t>
  </si>
  <si>
    <t>Septiembre</t>
  </si>
  <si>
    <t>Consumido a 15-jul: 3100 € · pendiente julio: 6900 €</t>
  </si>
  <si>
    <t>Perfil mensual de MATRÍCULAS (conteo · editable)</t>
  </si>
  <si>
    <t>Total (sin documentacion)</t>
  </si>
  <si>
    <t>Planificación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</si>
</sst>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#,##0.00\ \€"/>
    <numFmt numFmtId="166" formatCode="#,##0\ \€"/>
    <numFmt numFmtId="167" formatCode="0.0%"/>
    <numFmt numFmtId="168" formatCode="#,##0.00\ &quot;€&quot;"/>
    <numFmt numFmtId="170" formatCode="_-* #,##0.00\ [$€-C0A]_-;\-* #,##0.00\ [$€-C0A]_-;_-* &quot;-&quot;??\ [$€-C0A]_-;_-@_-"/>
  </numFmts>
  <fonts count="2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5B6B7B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B2E4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color rgb="FF5B6B7B"/>
      <name val="Calibri"/>
      <family val="2"/>
    </font>
    <font>
      <sz val="11"/>
      <color theme="1"/>
      <name val="Calibri"/>
      <family val="2"/>
      <scheme val="minor"/>
    </font>
    <font>
      <b/>
      <sz val="16"/>
      <color rgb="FF0B2E4F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rgb="FF5B6B7B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1F6FB2"/>
      <name val="Calibri"/>
      <family val="2"/>
      <scheme val="minor"/>
    </font>
    <font>
      <b/>
      <sz val="16"/>
      <color rgb="FFB9770E"/>
      <name val="Calibri"/>
      <family val="2"/>
      <scheme val="minor"/>
    </font>
    <font>
      <i/>
      <sz val="16"/>
      <color rgb="FFB9770E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 (Cuerpo)"/>
    </font>
    <font>
      <b/>
      <sz val="12"/>
      <color rgb="FFFFFFFF"/>
      <name val="Calibri (Cuerpo)"/>
    </font>
    <font>
      <b/>
      <sz val="12"/>
      <color rgb="FF0B2E4F"/>
      <name val="Calibri (Cuerpo)"/>
    </font>
    <font>
      <b/>
      <sz val="12"/>
      <name val="Calibri (Cuerpo)"/>
    </font>
    <font>
      <i/>
      <sz val="12"/>
      <color rgb="FF5B6B7B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2E4F"/>
      </patternFill>
    </fill>
    <fill>
      <patternFill patternType="solid">
        <fgColor rgb="FF1F9E8F"/>
      </patternFill>
    </fill>
    <fill>
      <patternFill patternType="solid">
        <fgColor rgb="FFD9E1E8"/>
      </patternFill>
    </fill>
    <fill>
      <patternFill patternType="solid">
        <fgColor rgb="FFEAF2F8"/>
      </patternFill>
    </fill>
    <fill>
      <patternFill patternType="solid">
        <fgColor rgb="FFEAF3FB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6DEE6"/>
      </left>
      <right style="thin">
        <color rgb="FFD6DEE6"/>
      </right>
      <top style="thin">
        <color rgb="FFD6DEE6"/>
      </top>
      <bottom style="thin">
        <color rgb="FFD6DEE6"/>
      </bottom>
      <diagonal/>
    </border>
    <border>
      <left/>
      <right/>
      <top/>
      <bottom style="thin">
        <color rgb="FFD6DEE6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2">
    <xf numFmtId="0" fontId="0" fillId="0" borderId="0" xfId="0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/>
    <xf numFmtId="0" fontId="7" fillId="5" borderId="1" xfId="0" applyFont="1" applyFill="1" applyBorder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1" xfId="0" applyFont="1" applyBorder="1"/>
    <xf numFmtId="0" fontId="13" fillId="3" borderId="1" xfId="0" applyFont="1" applyFill="1" applyBorder="1" applyAlignment="1">
      <alignment horizontal="center" vertical="center" wrapText="1"/>
    </xf>
    <xf numFmtId="166" fontId="15" fillId="6" borderId="1" xfId="0" applyNumberFormat="1" applyFont="1" applyFill="1" applyBorder="1"/>
    <xf numFmtId="166" fontId="11" fillId="0" borderId="1" xfId="0" applyNumberFormat="1" applyFont="1" applyBorder="1"/>
    <xf numFmtId="167" fontId="15" fillId="6" borderId="1" xfId="0" applyNumberFormat="1" applyFont="1" applyFill="1" applyBorder="1"/>
    <xf numFmtId="164" fontId="11" fillId="0" borderId="1" xfId="0" applyNumberFormat="1" applyFont="1" applyBorder="1"/>
    <xf numFmtId="3" fontId="15" fillId="6" borderId="1" xfId="0" applyNumberFormat="1" applyFont="1" applyFill="1" applyBorder="1"/>
    <xf numFmtId="10" fontId="16" fillId="0" borderId="1" xfId="0" applyNumberFormat="1" applyFont="1" applyBorder="1"/>
    <xf numFmtId="0" fontId="11" fillId="0" borderId="1" xfId="0" applyFont="1" applyBorder="1"/>
    <xf numFmtId="0" fontId="14" fillId="5" borderId="1" xfId="0" applyFont="1" applyFill="1" applyBorder="1"/>
    <xf numFmtId="166" fontId="14" fillId="5" borderId="1" xfId="0" applyNumberFormat="1" applyFont="1" applyFill="1" applyBorder="1"/>
    <xf numFmtId="164" fontId="14" fillId="5" borderId="1" xfId="0" applyNumberFormat="1" applyFont="1" applyFill="1" applyBorder="1"/>
    <xf numFmtId="3" fontId="14" fillId="5" borderId="1" xfId="0" applyNumberFormat="1" applyFont="1" applyFill="1" applyBorder="1"/>
    <xf numFmtId="10" fontId="16" fillId="5" borderId="1" xfId="0" applyNumberFormat="1" applyFont="1" applyFill="1" applyBorder="1"/>
    <xf numFmtId="166" fontId="15" fillId="6" borderId="0" xfId="0" applyNumberFormat="1" applyFont="1" applyFill="1"/>
    <xf numFmtId="167" fontId="11" fillId="0" borderId="0" xfId="0" applyNumberFormat="1" applyFont="1"/>
    <xf numFmtId="0" fontId="14" fillId="0" borderId="0" xfId="0" applyFont="1"/>
    <xf numFmtId="166" fontId="14" fillId="0" borderId="0" xfId="0" applyNumberFormat="1" applyFont="1"/>
    <xf numFmtId="0" fontId="17" fillId="0" borderId="0" xfId="0" applyFont="1"/>
    <xf numFmtId="3" fontId="15" fillId="6" borderId="0" xfId="0" applyNumberFormat="1" applyFont="1" applyFill="1"/>
    <xf numFmtId="0" fontId="13" fillId="3" borderId="0" xfId="0" applyFont="1" applyFill="1"/>
    <xf numFmtId="0" fontId="11" fillId="3" borderId="0" xfId="0" applyFont="1" applyFill="1"/>
    <xf numFmtId="0" fontId="10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center"/>
    </xf>
    <xf numFmtId="0" fontId="18" fillId="5" borderId="1" xfId="0" applyFont="1" applyFill="1" applyBorder="1"/>
    <xf numFmtId="3" fontId="14" fillId="0" borderId="0" xfId="0" applyNumberFormat="1" applyFont="1"/>
    <xf numFmtId="166" fontId="11" fillId="0" borderId="0" xfId="0" applyNumberFormat="1" applyFont="1"/>
    <xf numFmtId="168" fontId="11" fillId="0" borderId="0" xfId="0" applyNumberFormat="1" applyFont="1"/>
    <xf numFmtId="165" fontId="11" fillId="0" borderId="0" xfId="0" applyNumberFormat="1" applyFont="1"/>
    <xf numFmtId="167" fontId="11" fillId="0" borderId="0" xfId="1" applyNumberFormat="1" applyFont="1"/>
    <xf numFmtId="3" fontId="11" fillId="0" borderId="1" xfId="0" applyNumberFormat="1" applyFont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4" fontId="14" fillId="5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10" fontId="14" fillId="5" borderId="1" xfId="0" applyNumberFormat="1" applyFont="1" applyFill="1" applyBorder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167" fontId="14" fillId="5" borderId="1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2" borderId="0" xfId="0" applyFont="1" applyFill="1"/>
    <xf numFmtId="0" fontId="11" fillId="2" borderId="0" xfId="0" applyFont="1" applyFill="1"/>
    <xf numFmtId="0" fontId="2" fillId="0" borderId="0" xfId="0" applyFont="1"/>
    <xf numFmtId="0" fontId="0" fillId="0" borderId="0" xfId="0"/>
    <xf numFmtId="0" fontId="1" fillId="2" borderId="0" xfId="0" applyFont="1" applyFill="1"/>
    <xf numFmtId="0" fontId="0" fillId="2" borderId="0" xfId="0" applyFill="1"/>
    <xf numFmtId="165" fontId="11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5" fontId="14" fillId="5" borderId="1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3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170" fontId="0" fillId="0" borderId="0" xfId="0" applyNumberFormat="1"/>
    <xf numFmtId="3" fontId="20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0" fillId="0" borderId="0" xfId="0" applyFont="1"/>
    <xf numFmtId="0" fontId="20" fillId="3" borderId="0" xfId="0" applyFont="1" applyFill="1"/>
    <xf numFmtId="0" fontId="22" fillId="4" borderId="1" xfId="0" applyFont="1" applyFill="1" applyBorder="1" applyAlignment="1">
      <alignment horizontal="center"/>
    </xf>
    <xf numFmtId="3" fontId="24" fillId="0" borderId="0" xfId="0" applyNumberFormat="1" applyFont="1" applyAlignment="1">
      <alignment horizontal="center" vertical="center"/>
    </xf>
    <xf numFmtId="165" fontId="23" fillId="5" borderId="1" xfId="0" applyNumberFormat="1" applyFont="1" applyFill="1" applyBorder="1" applyAlignment="1">
      <alignment horizontal="center" vertical="center"/>
    </xf>
    <xf numFmtId="166" fontId="23" fillId="5" borderId="1" xfId="0" applyNumberFormat="1" applyFont="1" applyFill="1" applyBorder="1" applyAlignment="1">
      <alignment horizontal="center" vertical="center"/>
    </xf>
    <xf numFmtId="10" fontId="23" fillId="5" borderId="1" xfId="0" applyNumberFormat="1" applyFont="1" applyFill="1" applyBorder="1" applyAlignment="1">
      <alignment horizontal="center" vertical="center"/>
    </xf>
    <xf numFmtId="3" fontId="23" fillId="5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2FBB-DAE3-9043-B889-C17F71154D37}">
  <dimension ref="A1:E12"/>
  <sheetViews>
    <sheetView tabSelected="1" workbookViewId="0">
      <selection activeCell="T50" sqref="T50"/>
    </sheetView>
  </sheetViews>
  <sheetFormatPr baseColWidth="10" defaultRowHeight="15" x14ac:dyDescent="0.2"/>
  <cols>
    <col min="1" max="1" width="39.1640625" customWidth="1"/>
    <col min="2" max="2" width="29" customWidth="1"/>
    <col min="3" max="3" width="29.6640625" customWidth="1"/>
    <col min="4" max="4" width="27.1640625" customWidth="1"/>
    <col min="5" max="5" width="32.33203125" customWidth="1"/>
  </cols>
  <sheetData>
    <row r="1" spans="1:5" ht="26" x14ac:dyDescent="0.2">
      <c r="A1" s="63" t="s">
        <v>47</v>
      </c>
      <c r="B1" s="63"/>
      <c r="C1" s="63"/>
      <c r="D1" s="63"/>
      <c r="E1" s="63"/>
    </row>
    <row r="2" spans="1:5" ht="21" x14ac:dyDescent="0.25">
      <c r="A2" s="31" t="s">
        <v>46</v>
      </c>
      <c r="B2" s="62" t="s">
        <v>0</v>
      </c>
      <c r="C2" s="62"/>
      <c r="D2" s="62"/>
      <c r="E2" s="60"/>
    </row>
    <row r="3" spans="1:5" ht="21" x14ac:dyDescent="0.25">
      <c r="A3" s="33" t="s">
        <v>1</v>
      </c>
      <c r="B3" s="34" t="s">
        <v>2</v>
      </c>
      <c r="C3" s="34" t="s">
        <v>3</v>
      </c>
      <c r="D3" s="34" t="s">
        <v>4</v>
      </c>
      <c r="E3" s="59" t="s">
        <v>5</v>
      </c>
    </row>
    <row r="4" spans="1:5" ht="21" x14ac:dyDescent="0.25">
      <c r="A4" s="35" t="s">
        <v>6</v>
      </c>
      <c r="B4" s="41">
        <f>'Por Programa'!B68</f>
        <v>143</v>
      </c>
      <c r="C4" s="41">
        <f>'Por Programa'!C68</f>
        <v>118</v>
      </c>
      <c r="D4" s="41">
        <f>'Por Programa'!D68</f>
        <v>401</v>
      </c>
      <c r="E4" s="42">
        <f>SUM(B4:D4)</f>
        <v>662</v>
      </c>
    </row>
    <row r="5" spans="1:5" ht="21" x14ac:dyDescent="0.25">
      <c r="A5" s="35" t="s">
        <v>7</v>
      </c>
      <c r="B5" s="58">
        <f>'Por Programa'!B69</f>
        <v>8700</v>
      </c>
      <c r="C5" s="58">
        <f>'Por Programa'!C69</f>
        <v>7176.5673999999999</v>
      </c>
      <c r="D5" s="58">
        <f>'Por Programa'!D69</f>
        <v>24220.915300000001</v>
      </c>
      <c r="E5" s="44">
        <f>SUM(B5:D5)</f>
        <v>40097.4827</v>
      </c>
    </row>
    <row r="6" spans="1:5" ht="21" x14ac:dyDescent="0.25">
      <c r="A6" s="35" t="s">
        <v>8</v>
      </c>
      <c r="B6" s="43">
        <f>B5/B4</f>
        <v>60.83916083916084</v>
      </c>
      <c r="C6" s="43">
        <f t="shared" ref="C6:D6" si="0">C5/C4</f>
        <v>60.818367796610168</v>
      </c>
      <c r="D6" s="43">
        <f t="shared" si="0"/>
        <v>60.401285037406488</v>
      </c>
      <c r="E6" s="44">
        <f>E5/E4</f>
        <v>60.570215558912388</v>
      </c>
    </row>
    <row r="7" spans="1:5" ht="21" x14ac:dyDescent="0.25">
      <c r="A7" s="20" t="s">
        <v>9</v>
      </c>
      <c r="B7" s="41">
        <f>'Por Programa'!B71</f>
        <v>5</v>
      </c>
      <c r="C7" s="41">
        <f>'Por Programa'!C71</f>
        <v>6</v>
      </c>
      <c r="D7" s="41">
        <f>'Por Programa'!D71</f>
        <v>33</v>
      </c>
      <c r="E7" s="42">
        <f>SUM(B7:D7)</f>
        <v>44</v>
      </c>
    </row>
    <row r="8" spans="1:5" ht="21" x14ac:dyDescent="0.25">
      <c r="A8" s="35" t="s">
        <v>10</v>
      </c>
      <c r="B8" s="46">
        <f>B7/B4</f>
        <v>3.4965034965034968E-2</v>
      </c>
      <c r="C8" s="46">
        <f t="shared" ref="C8:D8" si="1">C7/C4</f>
        <v>5.0847457627118647E-2</v>
      </c>
      <c r="D8" s="46">
        <f t="shared" si="1"/>
        <v>8.2294264339152115E-2</v>
      </c>
      <c r="E8" s="47">
        <f>E7/E4</f>
        <v>6.6465256797583083E-2</v>
      </c>
    </row>
    <row r="9" spans="1:5" ht="21" x14ac:dyDescent="0.25">
      <c r="A9" s="20" t="s">
        <v>11</v>
      </c>
      <c r="B9" s="43">
        <f>'Por Programa'!B73</f>
        <v>19000</v>
      </c>
      <c r="C9" s="43">
        <f>'Por Programa'!C73</f>
        <v>19950</v>
      </c>
      <c r="D9" s="43">
        <f>'Por Programa'!D73</f>
        <v>96050</v>
      </c>
      <c r="E9" s="44">
        <f>SUM(B9:D9)</f>
        <v>135000</v>
      </c>
    </row>
    <row r="10" spans="1:5" ht="21" x14ac:dyDescent="0.25">
      <c r="A10" s="35" t="s">
        <v>12</v>
      </c>
      <c r="B10" s="48">
        <f>(B9-B5)/B9</f>
        <v>0.54210526315789476</v>
      </c>
      <c r="C10" s="48">
        <f t="shared" ref="C10:D10" si="2">(C9-C5)/C9</f>
        <v>0.64027231077694235</v>
      </c>
      <c r="D10" s="48">
        <f t="shared" si="2"/>
        <v>0.74783013742842275</v>
      </c>
      <c r="E10" s="49">
        <f>(E9-E5)/E9</f>
        <v>0.70298160962962963</v>
      </c>
    </row>
    <row r="11" spans="1:5" ht="21" x14ac:dyDescent="0.25">
      <c r="A11" s="9"/>
      <c r="B11" s="51"/>
      <c r="C11" s="51"/>
      <c r="D11" s="51"/>
      <c r="E11" s="51"/>
    </row>
    <row r="12" spans="1:5" ht="21" x14ac:dyDescent="0.25">
      <c r="A12" s="10" t="s">
        <v>13</v>
      </c>
      <c r="B12" s="50">
        <f>ROUND(B4/20,0)</f>
        <v>7</v>
      </c>
      <c r="C12" s="50">
        <f>ROUND(C4/30,0)</f>
        <v>4</v>
      </c>
      <c r="D12" s="50">
        <f>ROUND(D4/30,0)</f>
        <v>13</v>
      </c>
      <c r="E12" s="9"/>
    </row>
  </sheetData>
  <mergeCells count="2">
    <mergeCell ref="B2:D2"/>
    <mergeCell ref="A1:E1"/>
  </mergeCells>
  <pageMargins left="0.7" right="0.7" top="0.75" bottom="0.75" header="0.3" footer="0.3"/>
  <ignoredErrors>
    <ignoredError sqref="E6 E8" formula="1"/>
    <ignoredError sqref="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zoomScale="120" zoomScaleNormal="120" workbookViewId="0">
      <selection activeCell="B25" sqref="B25"/>
    </sheetView>
  </sheetViews>
  <sheetFormatPr baseColWidth="10" defaultColWidth="30.33203125" defaultRowHeight="21" x14ac:dyDescent="0.25"/>
  <cols>
    <col min="1" max="1" width="46.5" style="9" bestFit="1" customWidth="1"/>
    <col min="2" max="3" width="30.33203125" style="9"/>
    <col min="4" max="4" width="37" style="9" customWidth="1"/>
    <col min="5" max="5" width="29.5" style="9" customWidth="1"/>
    <col min="6" max="16384" width="30.33203125" style="9"/>
  </cols>
  <sheetData>
    <row r="1" spans="1:8" ht="24" customHeight="1" x14ac:dyDescent="0.25">
      <c r="A1" s="52" t="s">
        <v>17</v>
      </c>
      <c r="B1" s="53"/>
      <c r="C1" s="53"/>
      <c r="D1" s="53"/>
      <c r="E1" s="53"/>
    </row>
    <row r="3" spans="1:8" x14ac:dyDescent="0.25">
      <c r="A3" s="31" t="s">
        <v>18</v>
      </c>
      <c r="B3" s="62" t="s">
        <v>0</v>
      </c>
      <c r="C3" s="62"/>
      <c r="D3" s="62"/>
      <c r="E3" s="32"/>
    </row>
    <row r="4" spans="1:8" x14ac:dyDescent="0.25">
      <c r="A4" s="33" t="s">
        <v>1</v>
      </c>
      <c r="B4" s="34" t="s">
        <v>2</v>
      </c>
      <c r="C4" s="34" t="s">
        <v>3</v>
      </c>
      <c r="D4" s="34" t="s">
        <v>4</v>
      </c>
      <c r="E4" s="34" t="s">
        <v>5</v>
      </c>
    </row>
    <row r="5" spans="1:8" x14ac:dyDescent="0.25">
      <c r="A5" s="35" t="s">
        <v>6</v>
      </c>
      <c r="B5" s="41">
        <f>ROUND(B6/B7,0)</f>
        <v>42</v>
      </c>
      <c r="C5" s="41">
        <f t="shared" ref="C5:D5" si="0">ROUND(C6/C7,0)</f>
        <v>17</v>
      </c>
      <c r="D5" s="41">
        <f t="shared" si="0"/>
        <v>59</v>
      </c>
      <c r="E5" s="42">
        <f>SUM(B5:D5)</f>
        <v>118</v>
      </c>
    </row>
    <row r="6" spans="1:8" x14ac:dyDescent="0.25">
      <c r="A6" s="35" t="s">
        <v>7</v>
      </c>
      <c r="B6" s="43">
        <v>2300</v>
      </c>
      <c r="C6" s="43">
        <v>955.18169999999998</v>
      </c>
      <c r="D6" s="43">
        <v>3223.7384000000002</v>
      </c>
      <c r="E6" s="44">
        <f>SUM(B6:D6)</f>
        <v>6478.9201000000003</v>
      </c>
      <c r="G6" s="39"/>
      <c r="H6" s="40"/>
    </row>
    <row r="7" spans="1:8" x14ac:dyDescent="0.25">
      <c r="A7" s="35" t="s">
        <v>8</v>
      </c>
      <c r="B7" s="43">
        <v>55</v>
      </c>
      <c r="C7" s="43">
        <v>55</v>
      </c>
      <c r="D7" s="43">
        <v>55</v>
      </c>
      <c r="E7" s="44">
        <f>E6/E5</f>
        <v>54.906102542372885</v>
      </c>
      <c r="H7" s="40"/>
    </row>
    <row r="8" spans="1:8" x14ac:dyDescent="0.25">
      <c r="A8" s="20" t="s">
        <v>9</v>
      </c>
      <c r="B8" s="41">
        <f>ROUND(B5*B9,0)</f>
        <v>1</v>
      </c>
      <c r="C8" s="41">
        <f t="shared" ref="C8:D8" si="1">ROUND(C5*C9,0)</f>
        <v>1</v>
      </c>
      <c r="D8" s="41">
        <f t="shared" si="1"/>
        <v>5</v>
      </c>
      <c r="E8" s="45">
        <v>6</v>
      </c>
      <c r="H8" s="40"/>
    </row>
    <row r="9" spans="1:8" x14ac:dyDescent="0.25">
      <c r="A9" s="35" t="s">
        <v>10</v>
      </c>
      <c r="B9" s="46">
        <v>3.4500000000000003E-2</v>
      </c>
      <c r="C9" s="46">
        <v>4.3200000000000002E-2</v>
      </c>
      <c r="D9" s="46">
        <v>7.6799999999999993E-2</v>
      </c>
      <c r="E9" s="47">
        <v>6.1400000000000003E-2</v>
      </c>
      <c r="H9" s="40"/>
    </row>
    <row r="10" spans="1:8" x14ac:dyDescent="0.25">
      <c r="A10" s="20" t="s">
        <v>11</v>
      </c>
      <c r="B10" s="43">
        <f>'Datos-Nuevos'!$B$4*B8</f>
        <v>3300</v>
      </c>
      <c r="C10" s="43">
        <f>'Datos-Nuevos'!$B$4*C8</f>
        <v>3300</v>
      </c>
      <c r="D10" s="43">
        <f>'Datos-Nuevos'!$B$4*D8</f>
        <v>16500</v>
      </c>
      <c r="E10" s="44">
        <f>SUM(B10:D10)</f>
        <v>23100</v>
      </c>
      <c r="H10" s="40"/>
    </row>
    <row r="11" spans="1:8" x14ac:dyDescent="0.25">
      <c r="A11" s="35" t="s">
        <v>12</v>
      </c>
      <c r="B11" s="48">
        <f>(B10-B6)/B10</f>
        <v>0.30303030303030304</v>
      </c>
      <c r="C11" s="48">
        <f t="shared" ref="C11:D11" si="2">(C10-C6)/C10</f>
        <v>0.71055099999999993</v>
      </c>
      <c r="D11" s="48">
        <f t="shared" si="2"/>
        <v>0.80462191515151515</v>
      </c>
      <c r="E11" s="49">
        <f>(E10-E6)/E10</f>
        <v>0.71952726839826842</v>
      </c>
      <c r="H11" s="40"/>
    </row>
    <row r="12" spans="1:8" x14ac:dyDescent="0.25">
      <c r="H12" s="40"/>
    </row>
    <row r="13" spans="1:8" x14ac:dyDescent="0.25">
      <c r="A13" s="10" t="s">
        <v>13</v>
      </c>
      <c r="B13" s="50">
        <f>ROUND(B5/20,0)</f>
        <v>2</v>
      </c>
      <c r="C13" s="50">
        <f>ROUND(C5/30,0)</f>
        <v>1</v>
      </c>
      <c r="D13" s="50">
        <f>ROUND(D5/30,0)</f>
        <v>2</v>
      </c>
      <c r="E13" s="51"/>
      <c r="H13" s="40"/>
    </row>
    <row r="14" spans="1:8" x14ac:dyDescent="0.25">
      <c r="H14" s="40"/>
    </row>
    <row r="15" spans="1:8" x14ac:dyDescent="0.25">
      <c r="A15" s="31" t="s">
        <v>19</v>
      </c>
      <c r="B15" s="62" t="s">
        <v>0</v>
      </c>
      <c r="C15" s="62"/>
      <c r="D15" s="62"/>
      <c r="E15" s="32"/>
      <c r="H15" s="40"/>
    </row>
    <row r="16" spans="1:8" x14ac:dyDescent="0.25">
      <c r="A16" s="33" t="s">
        <v>1</v>
      </c>
      <c r="B16" s="34" t="s">
        <v>2</v>
      </c>
      <c r="C16" s="34" t="s">
        <v>3</v>
      </c>
      <c r="D16" s="34" t="s">
        <v>4</v>
      </c>
      <c r="E16" s="34" t="s">
        <v>5</v>
      </c>
      <c r="H16" s="40"/>
    </row>
    <row r="17" spans="1:8" x14ac:dyDescent="0.25">
      <c r="A17" s="35" t="s">
        <v>6</v>
      </c>
      <c r="B17" s="41">
        <f>ROUND(B18/B19,0)</f>
        <v>31</v>
      </c>
      <c r="C17" s="41">
        <f t="shared" ref="C17:D17" si="3">ROUND(C18/C19,0)</f>
        <v>24</v>
      </c>
      <c r="D17" s="41">
        <f t="shared" si="3"/>
        <v>82</v>
      </c>
      <c r="E17" s="42">
        <f>SUM(B17:D17)</f>
        <v>137</v>
      </c>
      <c r="H17" s="40"/>
    </row>
    <row r="18" spans="1:8" x14ac:dyDescent="0.25">
      <c r="A18" s="35" t="s">
        <v>7</v>
      </c>
      <c r="B18" s="43">
        <v>2000</v>
      </c>
      <c r="C18" s="43">
        <v>1573.4619</v>
      </c>
      <c r="D18" s="43">
        <v>5310.4341000000004</v>
      </c>
      <c r="E18" s="44">
        <f>SUM(B18:D18)</f>
        <v>8883.8960000000006</v>
      </c>
      <c r="G18" s="39"/>
      <c r="H18" s="40"/>
    </row>
    <row r="19" spans="1:8" x14ac:dyDescent="0.25">
      <c r="A19" s="35" t="s">
        <v>8</v>
      </c>
      <c r="B19" s="43">
        <v>65</v>
      </c>
      <c r="C19" s="43">
        <v>65</v>
      </c>
      <c r="D19" s="43">
        <v>65</v>
      </c>
      <c r="E19" s="44">
        <f>E18/E17</f>
        <v>64.845956204379561</v>
      </c>
      <c r="H19" s="40"/>
    </row>
    <row r="20" spans="1:8" x14ac:dyDescent="0.25">
      <c r="A20" s="20" t="s">
        <v>9</v>
      </c>
      <c r="B20" s="41">
        <f>ROUND(B17*B21,0)</f>
        <v>1</v>
      </c>
      <c r="C20" s="41">
        <f t="shared" ref="C20:D20" si="4">ROUND(C17*C21,0)</f>
        <v>1</v>
      </c>
      <c r="D20" s="41">
        <f t="shared" si="4"/>
        <v>5</v>
      </c>
      <c r="E20" s="42">
        <f>ROUND(E17*E21,0)</f>
        <v>6</v>
      </c>
      <c r="H20" s="40"/>
    </row>
    <row r="21" spans="1:8" x14ac:dyDescent="0.25">
      <c r="A21" s="35" t="s">
        <v>10</v>
      </c>
      <c r="B21" s="46">
        <v>2.4799999999999999E-2</v>
      </c>
      <c r="C21" s="46">
        <v>3.1E-2</v>
      </c>
      <c r="D21" s="46">
        <v>5.5100000000000003E-2</v>
      </c>
      <c r="E21" s="47">
        <v>4.41E-2</v>
      </c>
      <c r="H21" s="40"/>
    </row>
    <row r="22" spans="1:8" x14ac:dyDescent="0.25">
      <c r="A22" s="20" t="s">
        <v>11</v>
      </c>
      <c r="B22" s="43">
        <f>'Datos-Nuevos'!$B$5*B20</f>
        <v>6300</v>
      </c>
      <c r="C22" s="43">
        <f>'Datos-Nuevos'!$B$5*C20</f>
        <v>6300</v>
      </c>
      <c r="D22" s="43">
        <f>'Datos-Nuevos'!$B$5*D20</f>
        <v>31500</v>
      </c>
      <c r="E22" s="44">
        <f>SUM(B22:D22)</f>
        <v>44100</v>
      </c>
      <c r="H22" s="40"/>
    </row>
    <row r="23" spans="1:8" x14ac:dyDescent="0.25">
      <c r="A23" s="35" t="s">
        <v>12</v>
      </c>
      <c r="B23" s="48">
        <f>(B22-B18)/B22</f>
        <v>0.68253968253968256</v>
      </c>
      <c r="C23" s="48">
        <f t="shared" ref="C23:D23" si="5">(C22-C18)/C22</f>
        <v>0.7502441428571428</v>
      </c>
      <c r="D23" s="48">
        <f t="shared" si="5"/>
        <v>0.83141479047619049</v>
      </c>
      <c r="E23" s="49">
        <f>(E22-E18)/E22</f>
        <v>0.7985511111111111</v>
      </c>
      <c r="H23" s="40"/>
    </row>
    <row r="24" spans="1:8" x14ac:dyDescent="0.25">
      <c r="B24" s="51"/>
      <c r="C24" s="51"/>
      <c r="D24" s="51"/>
      <c r="E24" s="51"/>
      <c r="H24" s="40"/>
    </row>
    <row r="25" spans="1:8" x14ac:dyDescent="0.25">
      <c r="A25" s="10" t="s">
        <v>13</v>
      </c>
      <c r="B25" s="50">
        <f>ROUND(B17/20,0)</f>
        <v>2</v>
      </c>
      <c r="C25" s="50">
        <f>ROUND(C17/30,0)</f>
        <v>1</v>
      </c>
      <c r="D25" s="50">
        <f>ROUND(D17/30,0)</f>
        <v>3</v>
      </c>
      <c r="E25" s="51"/>
      <c r="H25" s="40"/>
    </row>
    <row r="26" spans="1:8" x14ac:dyDescent="0.25">
      <c r="E26" s="51"/>
      <c r="H26" s="40"/>
    </row>
    <row r="27" spans="1:8" x14ac:dyDescent="0.25">
      <c r="A27" s="31" t="s">
        <v>20</v>
      </c>
      <c r="B27" s="62" t="s">
        <v>0</v>
      </c>
      <c r="C27" s="62"/>
      <c r="D27" s="62"/>
      <c r="E27" s="60"/>
      <c r="H27" s="40"/>
    </row>
    <row r="28" spans="1:8" x14ac:dyDescent="0.25">
      <c r="A28" s="33" t="s">
        <v>1</v>
      </c>
      <c r="B28" s="34" t="s">
        <v>2</v>
      </c>
      <c r="C28" s="34" t="s">
        <v>3</v>
      </c>
      <c r="D28" s="34" t="s">
        <v>4</v>
      </c>
      <c r="E28" s="59" t="s">
        <v>5</v>
      </c>
      <c r="H28" s="40"/>
    </row>
    <row r="29" spans="1:8" x14ac:dyDescent="0.25">
      <c r="A29" s="35" t="s">
        <v>6</v>
      </c>
      <c r="B29" s="41">
        <f>ROUND(B30/B31,0)</f>
        <v>34</v>
      </c>
      <c r="C29" s="41">
        <f t="shared" ref="C29:D29" si="6">ROUND(C30/C31,0)</f>
        <v>28</v>
      </c>
      <c r="D29" s="41">
        <f t="shared" si="6"/>
        <v>94</v>
      </c>
      <c r="E29" s="42">
        <f>SUM(B29:D29)</f>
        <v>156</v>
      </c>
      <c r="H29" s="40"/>
    </row>
    <row r="30" spans="1:8" x14ac:dyDescent="0.25">
      <c r="A30" s="35" t="s">
        <v>7</v>
      </c>
      <c r="B30" s="58">
        <v>2400</v>
      </c>
      <c r="C30" s="58">
        <v>1942.3597</v>
      </c>
      <c r="D30" s="58">
        <v>6555.4641000000001</v>
      </c>
      <c r="E30" s="44">
        <f>SUM(B30:D30)</f>
        <v>10897.8238</v>
      </c>
      <c r="G30" s="39"/>
      <c r="H30" s="40"/>
    </row>
    <row r="31" spans="1:8" x14ac:dyDescent="0.25">
      <c r="A31" s="35" t="s">
        <v>8</v>
      </c>
      <c r="B31" s="43">
        <v>70</v>
      </c>
      <c r="C31" s="43">
        <v>70</v>
      </c>
      <c r="D31" s="43">
        <v>70</v>
      </c>
      <c r="E31" s="44">
        <f>E30/E29</f>
        <v>69.857844871794867</v>
      </c>
      <c r="H31" s="40"/>
    </row>
    <row r="32" spans="1:8" x14ac:dyDescent="0.25">
      <c r="A32" s="20" t="s">
        <v>9</v>
      </c>
      <c r="B32" s="41">
        <f>ROUND(B29*B33,0)</f>
        <v>1</v>
      </c>
      <c r="C32" s="41">
        <f t="shared" ref="C32:D32" si="7">ROUND(C29*C33,0)</f>
        <v>1</v>
      </c>
      <c r="D32" s="41">
        <f t="shared" si="7"/>
        <v>4</v>
      </c>
      <c r="E32" s="45">
        <f>SUM(B32:D32)</f>
        <v>6</v>
      </c>
      <c r="H32" s="40"/>
    </row>
    <row r="33" spans="1:8" x14ac:dyDescent="0.25">
      <c r="A33" s="35" t="s">
        <v>10</v>
      </c>
      <c r="B33" s="46">
        <v>1.7999999999999999E-2</v>
      </c>
      <c r="C33" s="46">
        <v>2.2499999999999999E-2</v>
      </c>
      <c r="D33" s="46">
        <v>0.04</v>
      </c>
      <c r="E33" s="47">
        <v>3.2000000000000001E-2</v>
      </c>
      <c r="H33" s="40"/>
    </row>
    <row r="34" spans="1:8" x14ac:dyDescent="0.25">
      <c r="A34" s="20" t="s">
        <v>11</v>
      </c>
      <c r="B34" s="43">
        <f>'Datos-Nuevos'!$B$6*B32</f>
        <v>7500</v>
      </c>
      <c r="C34" s="43">
        <f>'Datos-Nuevos'!$B$6*C32</f>
        <v>7500</v>
      </c>
      <c r="D34" s="43">
        <f>'Datos-Nuevos'!$B$6*D32</f>
        <v>30000</v>
      </c>
      <c r="E34" s="44">
        <f>SUM(B34:D34)</f>
        <v>45000</v>
      </c>
      <c r="H34" s="40"/>
    </row>
    <row r="35" spans="1:8" x14ac:dyDescent="0.25">
      <c r="A35" s="35" t="s">
        <v>12</v>
      </c>
      <c r="B35" s="48">
        <f>(B34-B30)/B34</f>
        <v>0.68</v>
      </c>
      <c r="C35" s="48">
        <f t="shared" ref="C35:D35" si="8">(C34-C30)/C34</f>
        <v>0.74101870666666669</v>
      </c>
      <c r="D35" s="48">
        <f t="shared" si="8"/>
        <v>0.78148452999999996</v>
      </c>
      <c r="E35" s="49">
        <f>(E34-E30)/E34</f>
        <v>0.75782613777777785</v>
      </c>
      <c r="H35" s="40"/>
    </row>
    <row r="36" spans="1:8" x14ac:dyDescent="0.25">
      <c r="B36" s="51"/>
      <c r="C36" s="51"/>
      <c r="D36" s="51"/>
      <c r="E36" s="51"/>
      <c r="H36" s="40"/>
    </row>
    <row r="37" spans="1:8" x14ac:dyDescent="0.25">
      <c r="A37" s="10" t="s">
        <v>13</v>
      </c>
      <c r="B37" s="50">
        <f>ROUND(B29/20,0)</f>
        <v>2</v>
      </c>
      <c r="C37" s="50">
        <f>ROUND(C29/30,0)</f>
        <v>1</v>
      </c>
      <c r="D37" s="50">
        <f>ROUND(D29/30,0)</f>
        <v>3</v>
      </c>
      <c r="E37" s="51"/>
      <c r="H37" s="40"/>
    </row>
    <row r="38" spans="1:8" x14ac:dyDescent="0.25">
      <c r="E38" s="51"/>
      <c r="H38" s="40"/>
    </row>
    <row r="39" spans="1:8" x14ac:dyDescent="0.25">
      <c r="A39" s="31" t="s">
        <v>21</v>
      </c>
      <c r="B39" s="62" t="s">
        <v>0</v>
      </c>
      <c r="C39" s="62"/>
      <c r="D39" s="62"/>
      <c r="E39" s="60"/>
      <c r="H39" s="40"/>
    </row>
    <row r="40" spans="1:8" x14ac:dyDescent="0.25">
      <c r="A40" s="33" t="s">
        <v>1</v>
      </c>
      <c r="B40" s="34" t="s">
        <v>2</v>
      </c>
      <c r="C40" s="34" t="s">
        <v>3</v>
      </c>
      <c r="D40" s="34" t="s">
        <v>4</v>
      </c>
      <c r="E40" s="59" t="s">
        <v>5</v>
      </c>
      <c r="H40" s="40"/>
    </row>
    <row r="41" spans="1:8" x14ac:dyDescent="0.25">
      <c r="A41" s="35" t="s">
        <v>6</v>
      </c>
      <c r="B41" s="41">
        <f>ROUND(B42/B43,0)</f>
        <v>26</v>
      </c>
      <c r="C41" s="41">
        <f t="shared" ref="C41:D41" si="9">ROUND(C42/C43,0)</f>
        <v>16</v>
      </c>
      <c r="D41" s="41">
        <f t="shared" si="9"/>
        <v>56</v>
      </c>
      <c r="E41" s="42">
        <f>SUM(B41:D41)</f>
        <v>98</v>
      </c>
      <c r="H41" s="40"/>
    </row>
    <row r="42" spans="1:8" x14ac:dyDescent="0.25">
      <c r="A42" s="35" t="s">
        <v>7</v>
      </c>
      <c r="B42" s="58">
        <v>1300</v>
      </c>
      <c r="C42" s="58">
        <v>823.4325</v>
      </c>
      <c r="D42" s="58">
        <v>2779.0848000000001</v>
      </c>
      <c r="E42" s="61">
        <f>SUM(B42:D42)</f>
        <v>4902.5172999999995</v>
      </c>
      <c r="G42" s="39"/>
      <c r="H42" s="40"/>
    </row>
    <row r="43" spans="1:8" x14ac:dyDescent="0.25">
      <c r="A43" s="35" t="s">
        <v>8</v>
      </c>
      <c r="B43" s="43">
        <v>50</v>
      </c>
      <c r="C43" s="43">
        <v>50</v>
      </c>
      <c r="D43" s="43">
        <v>50</v>
      </c>
      <c r="E43" s="44">
        <f>E42/E41</f>
        <v>50.025686734693871</v>
      </c>
      <c r="H43" s="40"/>
    </row>
    <row r="44" spans="1:8" x14ac:dyDescent="0.25">
      <c r="A44" s="20" t="s">
        <v>9</v>
      </c>
      <c r="B44" s="41">
        <f>ROUND(B41*B45,0)</f>
        <v>1</v>
      </c>
      <c r="C44" s="41">
        <f t="shared" ref="C44:D44" si="10">ROUND(C41*C45,0)</f>
        <v>1</v>
      </c>
      <c r="D44" s="41">
        <f t="shared" si="10"/>
        <v>5</v>
      </c>
      <c r="E44" s="45">
        <f>SUM(B44:D44)</f>
        <v>7</v>
      </c>
      <c r="H44" s="40"/>
    </row>
    <row r="45" spans="1:8" x14ac:dyDescent="0.25">
      <c r="A45" s="35" t="s">
        <v>10</v>
      </c>
      <c r="B45" s="46">
        <v>3.6400000000000002E-2</v>
      </c>
      <c r="C45" s="46">
        <v>4.5499999999999999E-2</v>
      </c>
      <c r="D45" s="46">
        <v>8.1000000000000003E-2</v>
      </c>
      <c r="E45" s="47">
        <v>6.4799999999999996E-2</v>
      </c>
      <c r="H45" s="40"/>
    </row>
    <row r="46" spans="1:8" x14ac:dyDescent="0.25">
      <c r="A46" s="20" t="s">
        <v>11</v>
      </c>
      <c r="B46" s="43">
        <v>2137.5</v>
      </c>
      <c r="C46" s="43">
        <v>2137.5</v>
      </c>
      <c r="D46" s="43">
        <v>12825</v>
      </c>
      <c r="E46" s="44">
        <f>SUM(B46:D46)</f>
        <v>17100</v>
      </c>
      <c r="H46" s="40"/>
    </row>
    <row r="47" spans="1:8" x14ac:dyDescent="0.25">
      <c r="A47" s="35" t="s">
        <v>12</v>
      </c>
      <c r="B47" s="48">
        <f>(B46-B42)/B46</f>
        <v>0.391812865497076</v>
      </c>
      <c r="C47" s="48">
        <f t="shared" ref="C47:D47" si="11">(C46-C42)/C46</f>
        <v>0.61476842105263163</v>
      </c>
      <c r="D47" s="48">
        <f t="shared" si="11"/>
        <v>0.78330722807017539</v>
      </c>
      <c r="E47" s="49">
        <f>(E46-E42)/E46</f>
        <v>0.71330308187134506</v>
      </c>
      <c r="H47" s="40"/>
    </row>
    <row r="48" spans="1:8" x14ac:dyDescent="0.25">
      <c r="B48" s="51"/>
      <c r="C48" s="51"/>
      <c r="D48" s="51"/>
      <c r="E48" s="51"/>
      <c r="H48" s="40"/>
    </row>
    <row r="49" spans="1:8" x14ac:dyDescent="0.25">
      <c r="A49" s="10" t="s">
        <v>13</v>
      </c>
      <c r="B49" s="50">
        <f>ROUND(B41/20,0)</f>
        <v>1</v>
      </c>
      <c r="C49" s="50">
        <f>ROUND(C41/30,0)</f>
        <v>1</v>
      </c>
      <c r="D49" s="50">
        <f>ROUND(D41/30,0)</f>
        <v>2</v>
      </c>
      <c r="E49" s="51"/>
      <c r="H49" s="40"/>
    </row>
    <row r="50" spans="1:8" x14ac:dyDescent="0.25">
      <c r="E50" s="51"/>
      <c r="H50" s="40"/>
    </row>
    <row r="51" spans="1:8" x14ac:dyDescent="0.25">
      <c r="A51" s="31" t="s">
        <v>22</v>
      </c>
      <c r="B51" s="62" t="s">
        <v>0</v>
      </c>
      <c r="C51" s="62"/>
      <c r="D51" s="62"/>
      <c r="E51" s="60"/>
      <c r="H51" s="40"/>
    </row>
    <row r="52" spans="1:8" x14ac:dyDescent="0.25">
      <c r="A52" s="33" t="s">
        <v>1</v>
      </c>
      <c r="B52" s="34" t="s">
        <v>2</v>
      </c>
      <c r="C52" s="34" t="s">
        <v>3</v>
      </c>
      <c r="D52" s="34" t="s">
        <v>4</v>
      </c>
      <c r="E52" s="59" t="s">
        <v>5</v>
      </c>
      <c r="H52" s="40"/>
    </row>
    <row r="53" spans="1:8" x14ac:dyDescent="0.25">
      <c r="A53" s="35" t="s">
        <v>6</v>
      </c>
      <c r="B53" s="41">
        <f>ROUND(B54/B55,0)</f>
        <v>36</v>
      </c>
      <c r="C53" s="41">
        <f t="shared" ref="C53:D53" si="12">ROUND(C54/C55,0)</f>
        <v>49</v>
      </c>
      <c r="D53" s="41">
        <f t="shared" si="12"/>
        <v>166</v>
      </c>
      <c r="E53" s="42">
        <f>SUM(B53:D53)</f>
        <v>251</v>
      </c>
      <c r="H53" s="40"/>
    </row>
    <row r="54" spans="1:8" x14ac:dyDescent="0.25">
      <c r="A54" s="35" t="s">
        <v>7</v>
      </c>
      <c r="B54" s="58">
        <v>2000</v>
      </c>
      <c r="C54" s="58">
        <v>2705.5641000000001</v>
      </c>
      <c r="D54" s="58">
        <v>9131.2787000000008</v>
      </c>
      <c r="E54" s="44">
        <f>SUM(B54:D54)</f>
        <v>13836.8428</v>
      </c>
      <c r="G54" s="39"/>
      <c r="H54" s="40"/>
    </row>
    <row r="55" spans="1:8" x14ac:dyDescent="0.25">
      <c r="A55" s="35" t="s">
        <v>8</v>
      </c>
      <c r="B55" s="43">
        <v>55</v>
      </c>
      <c r="C55" s="43">
        <v>55</v>
      </c>
      <c r="D55" s="43">
        <v>55</v>
      </c>
      <c r="E55" s="44">
        <v>55</v>
      </c>
      <c r="H55" s="40"/>
    </row>
    <row r="56" spans="1:8" x14ac:dyDescent="0.25">
      <c r="A56" s="20" t="s">
        <v>9</v>
      </c>
      <c r="B56" s="41">
        <f>ROUND(B53*B57,0)</f>
        <v>2</v>
      </c>
      <c r="C56" s="41">
        <f t="shared" ref="C56:D56" si="13">ROUND(C53*C57,0)</f>
        <v>3</v>
      </c>
      <c r="D56" s="41">
        <f t="shared" si="13"/>
        <v>19</v>
      </c>
      <c r="E56" s="42">
        <f>SUM(B56:D56)</f>
        <v>24</v>
      </c>
      <c r="H56" s="40"/>
    </row>
    <row r="57" spans="1:8" x14ac:dyDescent="0.25">
      <c r="A57" s="35" t="s">
        <v>10</v>
      </c>
      <c r="B57" s="46">
        <v>5.0799999999999998E-2</v>
      </c>
      <c r="C57" s="46">
        <v>6.3500000000000001E-2</v>
      </c>
      <c r="D57" s="46">
        <v>0.1129</v>
      </c>
      <c r="E57" s="47">
        <v>9.0300000000000005E-2</v>
      </c>
      <c r="H57" s="40"/>
    </row>
    <row r="58" spans="1:8" x14ac:dyDescent="0.25">
      <c r="A58" s="20" t="s">
        <v>11</v>
      </c>
      <c r="B58" s="43">
        <f>'Datos-Nuevos'!$B$7*B56</f>
        <v>1900</v>
      </c>
      <c r="C58" s="43">
        <f>'Datos-Nuevos'!$B$7*C56</f>
        <v>2850</v>
      </c>
      <c r="D58" s="43">
        <f>'Datos-Nuevos'!$B$7*D56</f>
        <v>18050</v>
      </c>
      <c r="E58" s="44">
        <f>SUM(B58:D58)</f>
        <v>22800</v>
      </c>
      <c r="H58" s="40"/>
    </row>
    <row r="59" spans="1:8" x14ac:dyDescent="0.25">
      <c r="A59" s="35" t="s">
        <v>12</v>
      </c>
      <c r="B59" s="48">
        <f>(B58-B54)/B58</f>
        <v>-5.2631578947368418E-2</v>
      </c>
      <c r="C59" s="48">
        <f t="shared" ref="C59:D59" si="14">(C58-C54)/C58</f>
        <v>5.067926315789472E-2</v>
      </c>
      <c r="D59" s="48">
        <f t="shared" si="14"/>
        <v>0.49411198337950135</v>
      </c>
      <c r="E59" s="49">
        <f>(E58-E54)/E58</f>
        <v>0.39312092982456137</v>
      </c>
      <c r="H59" s="40"/>
    </row>
    <row r="60" spans="1:8" x14ac:dyDescent="0.25">
      <c r="B60" s="51"/>
      <c r="C60" s="51"/>
      <c r="D60" s="51"/>
      <c r="E60" s="51"/>
      <c r="H60" s="40"/>
    </row>
    <row r="61" spans="1:8" x14ac:dyDescent="0.25">
      <c r="A61" s="10" t="s">
        <v>13</v>
      </c>
      <c r="B61" s="50">
        <f>ROUND(B53/20,0)</f>
        <v>2</v>
      </c>
      <c r="C61" s="50">
        <f>ROUND(C53/30,0)</f>
        <v>2</v>
      </c>
      <c r="D61" s="50">
        <f>ROUND(D53/30,0)</f>
        <v>6</v>
      </c>
      <c r="H61" s="40"/>
    </row>
    <row r="62" spans="1:8" x14ac:dyDescent="0.25">
      <c r="H62" s="40"/>
    </row>
    <row r="63" spans="1:8" x14ac:dyDescent="0.25">
      <c r="H63" s="40"/>
    </row>
    <row r="64" spans="1:8" x14ac:dyDescent="0.25">
      <c r="G64" s="39"/>
      <c r="H64" s="40"/>
    </row>
    <row r="66" spans="1:5" x14ac:dyDescent="0.25">
      <c r="A66" s="31" t="s">
        <v>46</v>
      </c>
      <c r="B66" s="62" t="s">
        <v>0</v>
      </c>
      <c r="C66" s="62"/>
      <c r="D66" s="62"/>
      <c r="E66" s="60"/>
    </row>
    <row r="67" spans="1:5" x14ac:dyDescent="0.25">
      <c r="A67" s="33" t="s">
        <v>1</v>
      </c>
      <c r="B67" s="34" t="s">
        <v>2</v>
      </c>
      <c r="C67" s="34" t="s">
        <v>3</v>
      </c>
      <c r="D67" s="34" t="s">
        <v>4</v>
      </c>
      <c r="E67" s="59" t="s">
        <v>5</v>
      </c>
    </row>
    <row r="68" spans="1:5" x14ac:dyDescent="0.25">
      <c r="A68" s="35" t="s">
        <v>6</v>
      </c>
      <c r="B68" s="41">
        <f>B5+B17+B29+B53</f>
        <v>143</v>
      </c>
      <c r="C68" s="41">
        <f t="shared" ref="C68:D68" si="15">C5+C17+C29+C53</f>
        <v>118</v>
      </c>
      <c r="D68" s="41">
        <f t="shared" si="15"/>
        <v>401</v>
      </c>
      <c r="E68" s="42">
        <f>SUM(B68:D68)</f>
        <v>662</v>
      </c>
    </row>
    <row r="69" spans="1:5" x14ac:dyDescent="0.25">
      <c r="A69" s="35" t="s">
        <v>7</v>
      </c>
      <c r="B69" s="58">
        <f>B6+B18+B30+B54</f>
        <v>8700</v>
      </c>
      <c r="C69" s="58">
        <f t="shared" ref="C69:D69" si="16">C6+C18+C30+C54</f>
        <v>7176.5673999999999</v>
      </c>
      <c r="D69" s="58">
        <f t="shared" si="16"/>
        <v>24220.915300000001</v>
      </c>
      <c r="E69" s="44">
        <f>SUM(B69:D69)</f>
        <v>40097.4827</v>
      </c>
    </row>
    <row r="70" spans="1:5" x14ac:dyDescent="0.25">
      <c r="A70" s="35" t="s">
        <v>8</v>
      </c>
      <c r="B70" s="43">
        <f>B69/B68</f>
        <v>60.83916083916084</v>
      </c>
      <c r="C70" s="43">
        <f t="shared" ref="C70:D70" si="17">C69/C68</f>
        <v>60.818367796610168</v>
      </c>
      <c r="D70" s="43">
        <f t="shared" si="17"/>
        <v>60.401285037406488</v>
      </c>
      <c r="E70" s="44">
        <f>E69/E68</f>
        <v>60.570215558912388</v>
      </c>
    </row>
    <row r="71" spans="1:5" x14ac:dyDescent="0.25">
      <c r="A71" s="20" t="s">
        <v>9</v>
      </c>
      <c r="B71" s="41">
        <f>B8+B20+B32+B56</f>
        <v>5</v>
      </c>
      <c r="C71" s="41">
        <f t="shared" ref="C71:D71" si="18">C8+C20+C32+C56</f>
        <v>6</v>
      </c>
      <c r="D71" s="41">
        <f t="shared" si="18"/>
        <v>33</v>
      </c>
      <c r="E71" s="42">
        <f>SUM(B71:D71)</f>
        <v>44</v>
      </c>
    </row>
    <row r="72" spans="1:5" x14ac:dyDescent="0.25">
      <c r="A72" s="35" t="s">
        <v>10</v>
      </c>
      <c r="B72" s="46">
        <f>B71/B68</f>
        <v>3.4965034965034968E-2</v>
      </c>
      <c r="C72" s="46">
        <f t="shared" ref="C72:D72" si="19">C71/C68</f>
        <v>5.0847457627118647E-2</v>
      </c>
      <c r="D72" s="46">
        <f t="shared" si="19"/>
        <v>8.2294264339152115E-2</v>
      </c>
      <c r="E72" s="47">
        <f>E71/E68</f>
        <v>6.6465256797583083E-2</v>
      </c>
    </row>
    <row r="73" spans="1:5" x14ac:dyDescent="0.25">
      <c r="A73" s="20" t="s">
        <v>11</v>
      </c>
      <c r="B73" s="43">
        <f>B10+B22+B34+B58</f>
        <v>19000</v>
      </c>
      <c r="C73" s="43">
        <f t="shared" ref="C73:D73" si="20">C10+C22+C34+C58</f>
        <v>19950</v>
      </c>
      <c r="D73" s="43">
        <f t="shared" si="20"/>
        <v>96050</v>
      </c>
      <c r="E73" s="44">
        <f>SUM(B73:D73)</f>
        <v>135000</v>
      </c>
    </row>
    <row r="74" spans="1:5" x14ac:dyDescent="0.25">
      <c r="A74" s="35" t="s">
        <v>12</v>
      </c>
      <c r="B74" s="48">
        <f>(B73-B69)/B73</f>
        <v>0.54210526315789476</v>
      </c>
      <c r="C74" s="48">
        <f t="shared" ref="C74" si="21">(C73-C69)/C73</f>
        <v>0.64027231077694235</v>
      </c>
      <c r="D74" s="48">
        <f t="shared" ref="D74" si="22">(D73-D69)/D73</f>
        <v>0.74783013742842275</v>
      </c>
      <c r="E74" s="49">
        <f>(E73-E69)/E73</f>
        <v>0.70298160962962963</v>
      </c>
    </row>
    <row r="75" spans="1:5" x14ac:dyDescent="0.25">
      <c r="B75" s="51"/>
      <c r="C75" s="51"/>
      <c r="D75" s="51"/>
      <c r="E75" s="51"/>
    </row>
    <row r="76" spans="1:5" x14ac:dyDescent="0.25">
      <c r="A76" s="10" t="s">
        <v>13</v>
      </c>
      <c r="B76" s="50">
        <f>ROUND(B68/20,0)</f>
        <v>7</v>
      </c>
      <c r="C76" s="50">
        <f>ROUND(C68/30,0)</f>
        <v>4</v>
      </c>
      <c r="D76" s="50">
        <f>ROUND(D68/30,0)</f>
        <v>13</v>
      </c>
    </row>
  </sheetData>
  <mergeCells count="7">
    <mergeCell ref="B39:D39"/>
    <mergeCell ref="B51:D51"/>
    <mergeCell ref="B66:D66"/>
    <mergeCell ref="A1:E1"/>
    <mergeCell ref="B3:D3"/>
    <mergeCell ref="B15:D15"/>
    <mergeCell ref="B27:D27"/>
  </mergeCells>
  <pageMargins left="0.75" right="0.75" top="1" bottom="1" header="0.5" footer="0.5"/>
  <ignoredErrors>
    <ignoredError sqref="E31 E43 B70:E70 E72 B72:D72" formula="1"/>
    <ignoredError sqref="B51 B3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zoomScale="130" zoomScaleNormal="130" workbookViewId="0">
      <selection activeCell="H29" sqref="H29"/>
    </sheetView>
  </sheetViews>
  <sheetFormatPr baseColWidth="10" defaultColWidth="8.83203125" defaultRowHeight="15" x14ac:dyDescent="0.2"/>
  <cols>
    <col min="1" max="1" width="40.1640625" customWidth="1"/>
    <col min="2" max="2" width="26" customWidth="1"/>
    <col min="3" max="3" width="19.83203125" customWidth="1"/>
    <col min="4" max="4" width="17.6640625" customWidth="1"/>
    <col min="5" max="5" width="27.83203125" customWidth="1"/>
    <col min="9" max="9" width="14.6640625" customWidth="1"/>
  </cols>
  <sheetData>
    <row r="1" spans="1:5" ht="24" customHeight="1" x14ac:dyDescent="0.2">
      <c r="A1" s="56" t="s">
        <v>14</v>
      </c>
      <c r="B1" s="57"/>
      <c r="C1" s="57"/>
      <c r="D1" s="57"/>
      <c r="E1" s="57"/>
    </row>
    <row r="2" spans="1:5" x14ac:dyDescent="0.2">
      <c r="A2" s="54"/>
      <c r="B2" s="55"/>
      <c r="C2" s="55"/>
      <c r="D2" s="55"/>
      <c r="E2" s="55"/>
    </row>
    <row r="4" spans="1:5" x14ac:dyDescent="0.2">
      <c r="A4" s="1" t="s">
        <v>15</v>
      </c>
      <c r="B4" s="65" t="s">
        <v>0</v>
      </c>
      <c r="C4" s="65"/>
      <c r="D4" s="65"/>
      <c r="E4" s="2"/>
    </row>
    <row r="5" spans="1:5" x14ac:dyDescent="0.2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</row>
    <row r="6" spans="1:5" ht="16" x14ac:dyDescent="0.2">
      <c r="A6" s="5" t="s">
        <v>6</v>
      </c>
      <c r="B6" s="67">
        <f>ROUND(B7/B8,0)</f>
        <v>95</v>
      </c>
      <c r="C6" s="67">
        <f t="shared" ref="C6:D6" si="0">ROUND(C7/C8,0)</f>
        <v>86</v>
      </c>
      <c r="D6" s="67">
        <f t="shared" si="0"/>
        <v>381</v>
      </c>
      <c r="E6" s="81">
        <f>SUM(B6:D6)</f>
        <v>562</v>
      </c>
    </row>
    <row r="7" spans="1:5" ht="16" x14ac:dyDescent="0.2">
      <c r="A7" s="5" t="s">
        <v>7</v>
      </c>
      <c r="B7" s="69">
        <v>5220</v>
      </c>
      <c r="C7" s="68">
        <v>4305.9399999999996</v>
      </c>
      <c r="D7" s="68">
        <v>13321.5</v>
      </c>
      <c r="E7" s="78">
        <f>SUM(B7:D7)</f>
        <v>22847.439999999999</v>
      </c>
    </row>
    <row r="8" spans="1:5" ht="16" x14ac:dyDescent="0.2">
      <c r="A8" s="5" t="s">
        <v>8</v>
      </c>
      <c r="B8" s="69">
        <v>55</v>
      </c>
      <c r="C8" s="69">
        <v>50</v>
      </c>
      <c r="D8" s="69">
        <v>35</v>
      </c>
      <c r="E8" s="79">
        <f>E7/E6</f>
        <v>40.653807829181495</v>
      </c>
    </row>
    <row r="9" spans="1:5" ht="16" x14ac:dyDescent="0.2">
      <c r="A9" s="6" t="s">
        <v>9</v>
      </c>
      <c r="B9" s="67">
        <f>ROUND(B6*B10,0)</f>
        <v>4</v>
      </c>
      <c r="C9" s="67">
        <f t="shared" ref="C9:D9" si="1">ROUND(C6*C10,0)</f>
        <v>2</v>
      </c>
      <c r="D9" s="67">
        <f t="shared" si="1"/>
        <v>20</v>
      </c>
      <c r="E9" s="81">
        <f>SUM(B9:D9)</f>
        <v>26</v>
      </c>
    </row>
    <row r="10" spans="1:5" ht="17" customHeight="1" x14ac:dyDescent="0.2">
      <c r="A10" s="5" t="s">
        <v>10</v>
      </c>
      <c r="B10" s="70">
        <v>3.85E-2</v>
      </c>
      <c r="C10" s="70">
        <v>2.8000000000000001E-2</v>
      </c>
      <c r="D10" s="70">
        <v>5.2999999999999999E-2</v>
      </c>
      <c r="E10" s="80">
        <f>E9/E6</f>
        <v>4.6263345195729534E-2</v>
      </c>
    </row>
    <row r="11" spans="1:5" ht="16" x14ac:dyDescent="0.2">
      <c r="B11" s="71"/>
      <c r="C11" s="71"/>
      <c r="D11" s="71"/>
      <c r="E11" s="74"/>
    </row>
    <row r="12" spans="1:5" ht="16" x14ac:dyDescent="0.2">
      <c r="A12" s="7" t="s">
        <v>13</v>
      </c>
      <c r="B12" s="77">
        <f>ROUND(B6/20,0)</f>
        <v>5</v>
      </c>
      <c r="C12" s="77">
        <f>ROUND(C6/30,0)</f>
        <v>3</v>
      </c>
      <c r="D12" s="77">
        <f>ROUND(D6/30,0)</f>
        <v>13</v>
      </c>
      <c r="E12" s="74"/>
    </row>
    <row r="13" spans="1:5" ht="16" x14ac:dyDescent="0.2">
      <c r="B13" s="71"/>
      <c r="C13" s="71"/>
      <c r="D13" s="71"/>
      <c r="E13" s="74"/>
    </row>
    <row r="14" spans="1:5" ht="16" x14ac:dyDescent="0.2">
      <c r="A14" s="1" t="s">
        <v>16</v>
      </c>
      <c r="B14" s="72" t="s">
        <v>0</v>
      </c>
      <c r="C14" s="72"/>
      <c r="D14" s="72"/>
      <c r="E14" s="75"/>
    </row>
    <row r="15" spans="1:5" ht="16" x14ac:dyDescent="0.2">
      <c r="A15" s="3" t="s">
        <v>1</v>
      </c>
      <c r="B15" s="73" t="s">
        <v>2</v>
      </c>
      <c r="C15" s="73" t="s">
        <v>3</v>
      </c>
      <c r="D15" s="73" t="s">
        <v>4</v>
      </c>
      <c r="E15" s="76" t="s">
        <v>5</v>
      </c>
    </row>
    <row r="16" spans="1:5" ht="16" x14ac:dyDescent="0.2">
      <c r="A16" s="5" t="s">
        <v>6</v>
      </c>
      <c r="B16" s="67">
        <f>ROUND(B17/B18,0)</f>
        <v>48</v>
      </c>
      <c r="C16" s="67">
        <f t="shared" ref="C16:D16" si="2">ROUND(C17/C18,0)</f>
        <v>44</v>
      </c>
      <c r="D16" s="67">
        <f t="shared" si="2"/>
        <v>198</v>
      </c>
      <c r="E16" s="81">
        <f>SUM(B16:D16)</f>
        <v>290</v>
      </c>
    </row>
    <row r="17" spans="1:9" ht="16" x14ac:dyDescent="0.2">
      <c r="A17" s="5" t="s">
        <v>7</v>
      </c>
      <c r="B17" s="69">
        <v>3480</v>
      </c>
      <c r="C17" s="68">
        <v>2870.63</v>
      </c>
      <c r="D17" s="68">
        <v>10899.41</v>
      </c>
      <c r="E17" s="78">
        <f>SUM(B17:D17)</f>
        <v>17250.04</v>
      </c>
    </row>
    <row r="18" spans="1:9" ht="21" x14ac:dyDescent="0.25">
      <c r="A18" s="5" t="s">
        <v>8</v>
      </c>
      <c r="B18" s="69">
        <v>73</v>
      </c>
      <c r="C18" s="69">
        <v>65</v>
      </c>
      <c r="D18" s="69">
        <v>55</v>
      </c>
      <c r="E18" s="79">
        <f>E17/E16</f>
        <v>59.482896551724139</v>
      </c>
    </row>
    <row r="19" spans="1:9" ht="16" x14ac:dyDescent="0.2">
      <c r="A19" s="6" t="s">
        <v>9</v>
      </c>
      <c r="B19" s="67">
        <f>ROUND(B16*B20,0)</f>
        <v>1</v>
      </c>
      <c r="C19" s="67">
        <f t="shared" ref="C19:D19" si="3">ROUND(C16*C20,0)</f>
        <v>2</v>
      </c>
      <c r="D19" s="67">
        <f t="shared" si="3"/>
        <v>13</v>
      </c>
      <c r="E19" s="81">
        <f>SUM(B19:D19)</f>
        <v>16</v>
      </c>
    </row>
    <row r="20" spans="1:9" ht="16" x14ac:dyDescent="0.2">
      <c r="A20" s="5" t="s">
        <v>10</v>
      </c>
      <c r="B20" s="70">
        <v>2.6499999999999999E-2</v>
      </c>
      <c r="C20" s="70">
        <v>0.04</v>
      </c>
      <c r="D20" s="70">
        <v>6.5000000000000002E-2</v>
      </c>
      <c r="E20" s="80">
        <f>E19/E16</f>
        <v>5.5172413793103448E-2</v>
      </c>
    </row>
    <row r="21" spans="1:9" ht="16" x14ac:dyDescent="0.2">
      <c r="B21" s="71"/>
      <c r="C21" s="71"/>
      <c r="D21" s="71"/>
    </row>
    <row r="22" spans="1:9" ht="16" x14ac:dyDescent="0.2">
      <c r="A22" s="7" t="s">
        <v>13</v>
      </c>
      <c r="B22" s="77">
        <f>ROUND(B16/20,0)</f>
        <v>2</v>
      </c>
      <c r="C22" s="77">
        <f>ROUND(C16/30,0)</f>
        <v>1</v>
      </c>
      <c r="D22" s="77">
        <f>ROUND(D16/30,0)</f>
        <v>7</v>
      </c>
    </row>
    <row r="25" spans="1:9" x14ac:dyDescent="0.2">
      <c r="I25" s="66"/>
    </row>
    <row r="27" spans="1:9" x14ac:dyDescent="0.2">
      <c r="I27" s="66"/>
    </row>
    <row r="30" spans="1:9" x14ac:dyDescent="0.2">
      <c r="B30" s="64"/>
    </row>
  </sheetData>
  <mergeCells count="4">
    <mergeCell ref="A2:E2"/>
    <mergeCell ref="A1:E1"/>
    <mergeCell ref="B4:D4"/>
    <mergeCell ref="B14:D14"/>
  </mergeCells>
  <pageMargins left="0.75" right="0.75" top="1" bottom="1" header="0.5" footer="0.5"/>
  <ignoredErrors>
    <ignoredError sqref="B4 B14" numberStoredAsText="1"/>
    <ignoredError sqref="E8 E1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34D2-6666-1C45-954D-1DB5534B498D}">
  <dimension ref="A1:K22"/>
  <sheetViews>
    <sheetView workbookViewId="0">
      <selection activeCell="B8" sqref="B8"/>
    </sheetView>
  </sheetViews>
  <sheetFormatPr baseColWidth="10" defaultColWidth="34.1640625" defaultRowHeight="21" x14ac:dyDescent="0.25"/>
  <cols>
    <col min="1" max="1" width="113.33203125" style="9" bestFit="1" customWidth="1"/>
    <col min="2" max="2" width="21.1640625" style="9" customWidth="1"/>
    <col min="3" max="3" width="16.6640625" style="9" customWidth="1"/>
    <col min="4" max="4" width="25.6640625" style="9" customWidth="1"/>
    <col min="5" max="5" width="18" style="9" customWidth="1"/>
    <col min="6" max="6" width="15" style="9" customWidth="1"/>
    <col min="7" max="7" width="14.6640625" style="9" bestFit="1" customWidth="1"/>
    <col min="8" max="8" width="20" style="9" bestFit="1" customWidth="1"/>
    <col min="9" max="9" width="17.33203125" style="9" bestFit="1" customWidth="1"/>
    <col min="10" max="10" width="33" style="9" customWidth="1"/>
    <col min="11" max="11" width="20.5" style="9" customWidth="1"/>
    <col min="12" max="16384" width="34.1640625" style="9"/>
  </cols>
  <sheetData>
    <row r="1" spans="1:11" x14ac:dyDescent="0.25">
      <c r="A1" s="8" t="s">
        <v>23</v>
      </c>
    </row>
    <row r="2" spans="1:11" x14ac:dyDescent="0.25">
      <c r="A2" s="10" t="s">
        <v>24</v>
      </c>
    </row>
    <row r="3" spans="1:11" ht="30" customHeight="1" x14ac:dyDescent="0.25">
      <c r="A3" s="12" t="s">
        <v>25</v>
      </c>
      <c r="B3" s="12" t="s">
        <v>26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2" t="s">
        <v>34</v>
      </c>
      <c r="K3" s="12" t="s">
        <v>35</v>
      </c>
    </row>
    <row r="4" spans="1:11" ht="28" customHeight="1" x14ac:dyDescent="0.25">
      <c r="A4" s="11" t="s">
        <v>18</v>
      </c>
      <c r="B4" s="13">
        <v>3300</v>
      </c>
      <c r="C4" s="13">
        <v>55</v>
      </c>
      <c r="D4" s="14">
        <v>5372.8972999999996</v>
      </c>
      <c r="E4" s="15">
        <v>0.6</v>
      </c>
      <c r="F4" s="15">
        <v>0.4</v>
      </c>
      <c r="G4" s="16">
        <v>97.688999999999993</v>
      </c>
      <c r="H4" s="17">
        <v>6</v>
      </c>
      <c r="I4" s="18">
        <v>6.1400000000000003E-2</v>
      </c>
      <c r="J4" s="14">
        <v>19800</v>
      </c>
      <c r="K4" s="19" t="s">
        <v>36</v>
      </c>
    </row>
    <row r="5" spans="1:11" ht="31" customHeight="1" x14ac:dyDescent="0.25">
      <c r="A5" s="11" t="s">
        <v>19</v>
      </c>
      <c r="B5" s="13">
        <v>6300</v>
      </c>
      <c r="C5" s="13">
        <v>65</v>
      </c>
      <c r="D5" s="14">
        <v>8850.7234000000008</v>
      </c>
      <c r="E5" s="15">
        <v>0.625</v>
      </c>
      <c r="F5" s="15">
        <v>0.375</v>
      </c>
      <c r="G5" s="16">
        <v>136.16499999999999</v>
      </c>
      <c r="H5" s="17">
        <v>6</v>
      </c>
      <c r="I5" s="18">
        <v>4.41E-2</v>
      </c>
      <c r="J5" s="14">
        <v>37800</v>
      </c>
      <c r="K5" s="19" t="s">
        <v>36</v>
      </c>
    </row>
    <row r="6" spans="1:11" ht="32" customHeight="1" x14ac:dyDescent="0.25">
      <c r="A6" s="11" t="s">
        <v>20</v>
      </c>
      <c r="B6" s="13">
        <v>7500</v>
      </c>
      <c r="C6" s="13">
        <v>70</v>
      </c>
      <c r="D6" s="14">
        <v>10925.7734</v>
      </c>
      <c r="E6" s="15">
        <v>0.58330000000000004</v>
      </c>
      <c r="F6" s="15">
        <v>0.41670000000000001</v>
      </c>
      <c r="G6" s="16">
        <v>156.08250000000001</v>
      </c>
      <c r="H6" s="17">
        <v>5</v>
      </c>
      <c r="I6" s="18">
        <v>3.2000000000000001E-2</v>
      </c>
      <c r="J6" s="14">
        <v>37500</v>
      </c>
      <c r="K6" s="19" t="s">
        <v>36</v>
      </c>
    </row>
    <row r="7" spans="1:11" ht="30" customHeight="1" x14ac:dyDescent="0.25">
      <c r="A7" s="11" t="s">
        <v>37</v>
      </c>
      <c r="B7" s="13">
        <v>950</v>
      </c>
      <c r="C7" s="13">
        <v>55</v>
      </c>
      <c r="D7" s="14">
        <v>15218.7978</v>
      </c>
      <c r="E7" s="15">
        <v>0.65</v>
      </c>
      <c r="F7" s="15">
        <v>0.35</v>
      </c>
      <c r="G7" s="16">
        <v>276.7054</v>
      </c>
      <c r="H7" s="17">
        <v>25</v>
      </c>
      <c r="I7" s="18">
        <v>9.0300000000000005E-2</v>
      </c>
      <c r="J7" s="14">
        <v>23750</v>
      </c>
      <c r="K7" s="19" t="s">
        <v>38</v>
      </c>
    </row>
    <row r="8" spans="1:11" ht="27" customHeight="1" x14ac:dyDescent="0.25">
      <c r="A8" s="20" t="s">
        <v>39</v>
      </c>
      <c r="B8" s="20"/>
      <c r="C8" s="20"/>
      <c r="D8" s="21">
        <f>SUM(D4:D7)</f>
        <v>40368.191899999998</v>
      </c>
      <c r="E8" s="20"/>
      <c r="F8" s="20"/>
      <c r="G8" s="22">
        <v>759.27809999999999</v>
      </c>
      <c r="H8" s="23">
        <v>48</v>
      </c>
      <c r="I8" s="24">
        <v>6.3200000000000006E-2</v>
      </c>
      <c r="J8" s="21">
        <v>135950</v>
      </c>
      <c r="K8" s="20"/>
    </row>
    <row r="11" spans="1:11" x14ac:dyDescent="0.25">
      <c r="A11" s="8" t="s">
        <v>40</v>
      </c>
    </row>
    <row r="12" spans="1:11" x14ac:dyDescent="0.25">
      <c r="A12" s="9" t="s">
        <v>41</v>
      </c>
      <c r="B12" s="25">
        <v>10000</v>
      </c>
      <c r="C12" s="26">
        <f>B12/$B$15</f>
        <v>0.22222222222222221</v>
      </c>
    </row>
    <row r="13" spans="1:11" x14ac:dyDescent="0.25">
      <c r="A13" s="9" t="s">
        <v>42</v>
      </c>
      <c r="B13" s="25">
        <v>8000</v>
      </c>
      <c r="C13" s="26">
        <f t="shared" ref="C13:C14" si="0">B13/$B$15</f>
        <v>0.17777777777777778</v>
      </c>
    </row>
    <row r="14" spans="1:11" x14ac:dyDescent="0.25">
      <c r="A14" s="9" t="s">
        <v>43</v>
      </c>
      <c r="B14" s="25">
        <v>27000</v>
      </c>
      <c r="C14" s="26">
        <f t="shared" si="0"/>
        <v>0.6</v>
      </c>
    </row>
    <row r="15" spans="1:11" x14ac:dyDescent="0.25">
      <c r="A15" s="27" t="s">
        <v>5</v>
      </c>
      <c r="B15" s="28">
        <v>45000</v>
      </c>
      <c r="F15" s="9">
        <f>17000*3</f>
        <v>51000</v>
      </c>
      <c r="H15" s="37"/>
    </row>
    <row r="16" spans="1:11" x14ac:dyDescent="0.25">
      <c r="A16" s="29" t="s">
        <v>44</v>
      </c>
    </row>
    <row r="17" spans="1:8" x14ac:dyDescent="0.25">
      <c r="H17" s="38"/>
    </row>
    <row r="18" spans="1:8" x14ac:dyDescent="0.25">
      <c r="A18" s="8" t="s">
        <v>45</v>
      </c>
    </row>
    <row r="19" spans="1:8" x14ac:dyDescent="0.25">
      <c r="A19" s="9" t="s">
        <v>41</v>
      </c>
      <c r="B19" s="30">
        <v>5</v>
      </c>
      <c r="C19" s="26">
        <f>B19/$B$22</f>
        <v>0.12195121951219512</v>
      </c>
    </row>
    <row r="20" spans="1:8" x14ac:dyDescent="0.25">
      <c r="A20" s="9" t="s">
        <v>42</v>
      </c>
      <c r="B20" s="30">
        <v>6</v>
      </c>
      <c r="C20" s="26">
        <f t="shared" ref="C20:C22" si="1">B20/$B$22</f>
        <v>0.14634146341463414</v>
      </c>
      <c r="H20" s="38"/>
    </row>
    <row r="21" spans="1:8" x14ac:dyDescent="0.25">
      <c r="A21" s="9" t="s">
        <v>43</v>
      </c>
      <c r="B21" s="30">
        <v>30</v>
      </c>
      <c r="C21" s="26">
        <f t="shared" si="1"/>
        <v>0.73170731707317072</v>
      </c>
    </row>
    <row r="22" spans="1:8" x14ac:dyDescent="0.25">
      <c r="A22" s="27" t="s">
        <v>5</v>
      </c>
      <c r="B22" s="36">
        <f>SUM(B19:B21)</f>
        <v>41</v>
      </c>
      <c r="C22" s="26">
        <f t="shared" si="1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TOTAL</vt:lpstr>
      <vt:lpstr>Por Programa</vt:lpstr>
      <vt:lpstr>Por Plataforma</vt:lpstr>
      <vt:lpstr>Datos-Nuevos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Donoso</cp:lastModifiedBy>
  <dcterms:created xsi:type="dcterms:W3CDTF">2026-07-15T14:32:20Z</dcterms:created>
  <dcterms:modified xsi:type="dcterms:W3CDTF">2026-07-20T16:24:57Z</dcterms:modified>
</cp:coreProperties>
</file>